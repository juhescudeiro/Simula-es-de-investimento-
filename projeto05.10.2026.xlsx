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Desktop\Juliana\Cursos Juliana\Excel\"/>
    </mc:Choice>
  </mc:AlternateContent>
  <xr:revisionPtr revIDLastSave="0" documentId="13_ncr:1_{0D45D05C-3E4F-4699-874A-67DE58E8E4A4}" xr6:coauthVersionLast="47" xr6:coauthVersionMax="47" xr10:uidLastSave="{00000000-0000-0000-0000-000000000000}"/>
  <bookViews>
    <workbookView xWindow="-108" yWindow="-108" windowWidth="19416" windowHeight="10296" xr2:uid="{50209935-67D2-4958-822A-A64E5A19CFE4}"/>
  </bookViews>
  <sheets>
    <sheet name="Planilha1" sheetId="1" r:id="rId1"/>
    <sheet name="Planilha2" sheetId="2" r:id="rId2"/>
  </sheets>
  <definedNames>
    <definedName name="Aporte">Planilha1!$D$17</definedName>
    <definedName name="patrimonio">Planilha1!$D$20</definedName>
    <definedName name="Qtd_anos">Planilha1!$D$18</definedName>
    <definedName name="Rendimento_carteira">Planilha1!$D$13</definedName>
    <definedName name="salario">Planilha1!$D$12</definedName>
    <definedName name="sugestao_investimento">Planilha1!$D$14</definedName>
    <definedName name="Taxa_mensal">Planilha1!$D$19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" i="1" l="1"/>
  <c r="D14" i="1"/>
  <c r="C37" i="1"/>
  <c r="A10" i="2"/>
  <c r="A11" i="2"/>
  <c r="A12" i="2"/>
  <c r="A13" i="2"/>
  <c r="A14" i="2"/>
  <c r="A9" i="2"/>
  <c r="C36" i="1" s="1"/>
  <c r="A8" i="2"/>
  <c r="A4" i="2"/>
  <c r="A5" i="2"/>
  <c r="A6" i="2"/>
  <c r="A7" i="2"/>
  <c r="A15" i="2"/>
  <c r="A16" i="2"/>
  <c r="A17" i="2"/>
  <c r="A18" i="2"/>
  <c r="A19" i="2"/>
  <c r="A20" i="2"/>
  <c r="A3" i="2"/>
  <c r="C25" i="1"/>
  <c r="D25" i="1" s="1"/>
  <c r="C26" i="1"/>
  <c r="D26" i="1" s="1"/>
  <c r="C27" i="1"/>
  <c r="D27" i="1" s="1"/>
  <c r="C28" i="1"/>
  <c r="D28" i="1" s="1"/>
  <c r="C24" i="1"/>
  <c r="D24" i="1" s="1"/>
  <c r="D20" i="1"/>
  <c r="D21" i="1" s="1"/>
  <c r="D37" i="1" l="1"/>
  <c r="C39" i="1"/>
  <c r="D39" i="1" s="1"/>
  <c r="D36" i="1"/>
  <c r="C38" i="1"/>
  <c r="D38" i="1" s="1"/>
  <c r="C40" i="1"/>
  <c r="D40" i="1" s="1"/>
  <c r="C41" i="1"/>
  <c r="D41" i="1" s="1"/>
  <c r="D42" i="1" l="1"/>
</calcChain>
</file>

<file path=xl/sharedStrings.xml><?xml version="1.0" encoding="utf-8"?>
<sst xmlns="http://schemas.openxmlformats.org/spreadsheetml/2006/main" count="69" uniqueCount="33">
  <si>
    <t xml:space="preserve">INVESTIMENTO MENSAL </t>
  </si>
  <si>
    <t>Por quantos anos ?</t>
  </si>
  <si>
    <t>Quanto investir por mês ?</t>
  </si>
  <si>
    <t>Taxa de Rendimento Mensal ?</t>
  </si>
  <si>
    <t>Patrimonio Acumulado ?</t>
  </si>
  <si>
    <t>Dividendos mensais ?</t>
  </si>
  <si>
    <t>Quanto em 2 Anos ?</t>
  </si>
  <si>
    <t>Quanto em 5 Anos ?</t>
  </si>
  <si>
    <t>Quanto em 10 Anos ?</t>
  </si>
  <si>
    <t>Quanto em 20 Anos ?</t>
  </si>
  <si>
    <t>Quanto em 30 Anos ?</t>
  </si>
  <si>
    <t xml:space="preserve">Rendimento Carteira </t>
  </si>
  <si>
    <t xml:space="preserve">Salario </t>
  </si>
  <si>
    <t xml:space="preserve">CONFIGURAÇÕES </t>
  </si>
  <si>
    <t>Conservador</t>
  </si>
  <si>
    <t>Moderado</t>
  </si>
  <si>
    <t>Agressivo</t>
  </si>
  <si>
    <t>Cenários</t>
  </si>
  <si>
    <t xml:space="preserve">VALOR A SER INVESTIDO POR MÊS </t>
  </si>
  <si>
    <t xml:space="preserve">PERFIL </t>
  </si>
  <si>
    <t>TIPO DE FII</t>
  </si>
  <si>
    <t xml:space="preserve">Percentual Sugerido </t>
  </si>
  <si>
    <t>Valores</t>
  </si>
  <si>
    <t>PAPEL</t>
  </si>
  <si>
    <t>TIJOLO</t>
  </si>
  <si>
    <t xml:space="preserve">HIBRIDOS </t>
  </si>
  <si>
    <t>FOF'S</t>
  </si>
  <si>
    <t xml:space="preserve">DESENVOLVIMENTO </t>
  </si>
  <si>
    <t xml:space="preserve">HOTELARIAS </t>
  </si>
  <si>
    <t>%</t>
  </si>
  <si>
    <t>CHAVE</t>
  </si>
  <si>
    <t>Segestão de investimento  (30% )</t>
  </si>
  <si>
    <t xml:space="preserve">Dividendo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</si>
</sst>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3" formatCode="_-* #,##0.00_-;\-* #,##0.00_-;_-* &quot;-&quot;??_-;_-@_-"/>
    <numFmt numFmtId="170" formatCode="&quot;R$&quot;\ 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Segoe UI"/>
      <family val="2"/>
    </font>
    <font>
      <sz val="12"/>
      <color theme="1"/>
      <name val="Calibri"/>
      <family val="2"/>
      <scheme val="minor"/>
    </font>
    <font>
      <sz val="12"/>
      <color rgb="FF23282C"/>
      <name val="Segoe UI"/>
      <family val="2"/>
    </font>
    <font>
      <b/>
      <sz val="12"/>
      <color rgb="FF23282C"/>
      <name val="Segoe UI"/>
      <family val="2"/>
    </font>
    <font>
      <b/>
      <sz val="20"/>
      <color theme="0"/>
      <name val="Calibri"/>
      <family val="2"/>
      <scheme val="minor"/>
    </font>
    <font>
      <b/>
      <sz val="20"/>
      <color theme="0"/>
      <name val="Segoe UI Semibold"/>
      <family val="2"/>
    </font>
    <font>
      <sz val="20"/>
      <color theme="1"/>
      <name val="Calibri"/>
      <family val="2"/>
      <scheme val="minor"/>
    </font>
    <font>
      <b/>
      <sz val="11"/>
      <color theme="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theme="2" tint="-9.9948118533890809E-2"/>
      </right>
      <top/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/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indexed="64"/>
      </right>
      <top/>
      <bottom style="medium">
        <color theme="2" tint="-9.9948118533890809E-2"/>
      </bottom>
      <diagonal/>
    </border>
    <border>
      <left style="medium">
        <color indexed="64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indexed="64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indexed="64"/>
      </left>
      <right style="medium">
        <color theme="2" tint="-9.9948118533890809E-2"/>
      </right>
      <top style="medium">
        <color theme="2" tint="-9.9948118533890809E-2"/>
      </top>
      <bottom style="medium">
        <color indexed="64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indexed="64"/>
      </bottom>
      <diagonal/>
    </border>
    <border>
      <left style="medium">
        <color theme="2" tint="-9.9948118533890809E-2"/>
      </left>
      <right style="medium">
        <color indexed="64"/>
      </right>
      <top style="medium">
        <color theme="2" tint="-9.9948118533890809E-2"/>
      </top>
      <bottom style="medium">
        <color indexed="64"/>
      </bottom>
      <diagonal/>
    </border>
    <border>
      <left style="medium">
        <color indexed="64"/>
      </left>
      <right style="medium">
        <color theme="2" tint="-9.9948118533890809E-2"/>
      </right>
      <top style="medium">
        <color indexed="64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indexed="64"/>
      </top>
      <bottom style="medium">
        <color theme="2" tint="-9.9948118533890809E-2"/>
      </bottom>
      <diagonal/>
    </border>
    <border>
      <left style="medium">
        <color theme="2" tint="-9.9948118533890809E-2"/>
      </left>
      <right style="medium">
        <color indexed="64"/>
      </right>
      <top style="medium">
        <color indexed="64"/>
      </top>
      <bottom style="medium">
        <color theme="2" tint="-9.9948118533890809E-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Border="1"/>
    <xf numFmtId="8" fontId="0" fillId="0" borderId="0" xfId="0" applyNumberFormat="1" applyFill="1" applyBorder="1"/>
    <xf numFmtId="170" fontId="0" fillId="6" borderId="6" xfId="0" applyNumberFormat="1" applyFill="1" applyBorder="1" applyAlignment="1">
      <alignment horizontal="center"/>
    </xf>
    <xf numFmtId="0" fontId="0" fillId="6" borderId="9" xfId="1" applyNumberFormat="1" applyFont="1" applyFill="1" applyBorder="1" applyAlignment="1">
      <alignment horizontal="center"/>
    </xf>
    <xf numFmtId="10" fontId="0" fillId="6" borderId="9" xfId="0" applyNumberFormat="1" applyFill="1" applyBorder="1" applyAlignment="1">
      <alignment horizontal="center"/>
    </xf>
    <xf numFmtId="8" fontId="0" fillId="6" borderId="9" xfId="0" applyNumberFormat="1" applyFill="1" applyBorder="1" applyAlignment="1">
      <alignment horizontal="center"/>
    </xf>
    <xf numFmtId="8" fontId="0" fillId="6" borderId="12" xfId="0" applyNumberFormat="1" applyFill="1" applyBorder="1" applyAlignment="1">
      <alignment horizontal="center"/>
    </xf>
    <xf numFmtId="8" fontId="0" fillId="6" borderId="14" xfId="0" applyNumberFormat="1" applyFill="1" applyBorder="1" applyAlignment="1">
      <alignment horizontal="center"/>
    </xf>
    <xf numFmtId="8" fontId="0" fillId="6" borderId="15" xfId="0" applyNumberFormat="1" applyFill="1" applyBorder="1" applyAlignment="1">
      <alignment horizontal="center"/>
    </xf>
    <xf numFmtId="8" fontId="0" fillId="6" borderId="8" xfId="0" applyNumberFormat="1" applyFill="1" applyBorder="1" applyAlignment="1">
      <alignment horizontal="center"/>
    </xf>
    <xf numFmtId="8" fontId="0" fillId="6" borderId="11" xfId="0" applyNumberFormat="1" applyFill="1" applyBorder="1" applyAlignment="1">
      <alignment horizontal="center"/>
    </xf>
    <xf numFmtId="0" fontId="6" fillId="6" borderId="4" xfId="0" applyFont="1" applyFill="1" applyBorder="1" applyAlignment="1">
      <alignment horizontal="left" indent="2"/>
    </xf>
    <xf numFmtId="0" fontId="6" fillId="6" borderId="5" xfId="0" applyFont="1" applyFill="1" applyBorder="1" applyAlignment="1">
      <alignment horizontal="left" indent="2"/>
    </xf>
    <xf numFmtId="0" fontId="6" fillId="6" borderId="7" xfId="0" applyFont="1" applyFill="1" applyBorder="1" applyAlignment="1">
      <alignment horizontal="left" indent="2"/>
    </xf>
    <xf numFmtId="0" fontId="6" fillId="6" borderId="8" xfId="0" applyFont="1" applyFill="1" applyBorder="1" applyAlignment="1">
      <alignment horizontal="left" indent="2"/>
    </xf>
    <xf numFmtId="0" fontId="6" fillId="6" borderId="10" xfId="0" applyFont="1" applyFill="1" applyBorder="1" applyAlignment="1">
      <alignment horizontal="left" indent="2"/>
    </xf>
    <xf numFmtId="0" fontId="6" fillId="6" borderId="11" xfId="0" applyFont="1" applyFill="1" applyBorder="1" applyAlignment="1">
      <alignment horizontal="left" indent="2"/>
    </xf>
    <xf numFmtId="0" fontId="7" fillId="6" borderId="4" xfId="0" applyFont="1" applyFill="1" applyBorder="1" applyAlignment="1">
      <alignment horizontal="left" vertical="center" wrapText="1" indent="2"/>
    </xf>
    <xf numFmtId="0" fontId="7" fillId="6" borderId="5" xfId="0" applyFont="1" applyFill="1" applyBorder="1" applyAlignment="1">
      <alignment horizontal="left" vertical="center" wrapText="1" indent="2"/>
    </xf>
    <xf numFmtId="0" fontId="7" fillId="6" borderId="7" xfId="0" applyFont="1" applyFill="1" applyBorder="1" applyAlignment="1">
      <alignment horizontal="left" vertical="center" wrapText="1" indent="2"/>
    </xf>
    <xf numFmtId="0" fontId="7" fillId="6" borderId="8" xfId="0" applyFont="1" applyFill="1" applyBorder="1" applyAlignment="1">
      <alignment horizontal="left" vertical="center" wrapText="1" indent="2"/>
    </xf>
    <xf numFmtId="0" fontId="8" fillId="6" borderId="7" xfId="0" applyFont="1" applyFill="1" applyBorder="1" applyAlignment="1">
      <alignment horizontal="left" vertical="center" wrapText="1" indent="2"/>
    </xf>
    <xf numFmtId="0" fontId="8" fillId="6" borderId="8" xfId="0" applyFont="1" applyFill="1" applyBorder="1" applyAlignment="1">
      <alignment horizontal="left" vertical="center" wrapText="1" indent="2"/>
    </xf>
    <xf numFmtId="0" fontId="8" fillId="6" borderId="10" xfId="0" applyFont="1" applyFill="1" applyBorder="1" applyAlignment="1">
      <alignment horizontal="left" vertical="center" wrapText="1" indent="2"/>
    </xf>
    <xf numFmtId="0" fontId="8" fillId="6" borderId="11" xfId="0" applyFont="1" applyFill="1" applyBorder="1" applyAlignment="1">
      <alignment horizontal="left" vertical="center" wrapText="1" indent="2"/>
    </xf>
    <xf numFmtId="0" fontId="6" fillId="6" borderId="13" xfId="0" applyFont="1" applyFill="1" applyBorder="1" applyAlignment="1">
      <alignment horizontal="left" indent="2"/>
    </xf>
    <xf numFmtId="0" fontId="6" fillId="6" borderId="7" xfId="0" applyFont="1" applyFill="1" applyBorder="1" applyAlignment="1">
      <alignment horizontal="left" indent="2"/>
    </xf>
    <xf numFmtId="0" fontId="6" fillId="6" borderId="10" xfId="0" applyFont="1" applyFill="1" applyBorder="1" applyAlignment="1">
      <alignment horizontal="left" indent="2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0" borderId="0" xfId="0" applyFont="1"/>
    <xf numFmtId="0" fontId="12" fillId="3" borderId="2" xfId="0" applyFont="1" applyFill="1" applyBorder="1" applyAlignment="1">
      <alignment horizontal="center" vertical="center" wrapText="1"/>
    </xf>
    <xf numFmtId="170" fontId="0" fillId="7" borderId="6" xfId="0" applyNumberFormat="1" applyFill="1" applyBorder="1" applyAlignment="1">
      <alignment horizontal="center"/>
    </xf>
    <xf numFmtId="170" fontId="0" fillId="7" borderId="12" xfId="0" applyNumberFormat="1" applyFill="1" applyBorder="1" applyAlignment="1">
      <alignment horizontal="center"/>
    </xf>
    <xf numFmtId="0" fontId="10" fillId="3" borderId="16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vertical="center" wrapText="1"/>
    </xf>
    <xf numFmtId="0" fontId="10" fillId="5" borderId="16" xfId="0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vertical="center"/>
    </xf>
    <xf numFmtId="0" fontId="2" fillId="2" borderId="0" xfId="2"/>
    <xf numFmtId="0" fontId="0" fillId="8" borderId="0" xfId="0" applyFill="1"/>
    <xf numFmtId="0" fontId="2" fillId="2" borderId="0" xfId="2" applyAlignment="1">
      <alignment horizontal="center"/>
    </xf>
    <xf numFmtId="170" fontId="0" fillId="8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0" fontId="3" fillId="4" borderId="0" xfId="0" applyFont="1" applyFill="1"/>
    <xf numFmtId="170" fontId="0" fillId="0" borderId="0" xfId="0" applyNumberFormat="1" applyAlignment="1">
      <alignment horizontal="center"/>
    </xf>
    <xf numFmtId="170" fontId="3" fillId="4" borderId="0" xfId="0" applyNumberFormat="1" applyFont="1" applyFill="1" applyAlignment="1">
      <alignment horizontal="center"/>
    </xf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9" xfId="0" applyBorder="1"/>
    <xf numFmtId="0" fontId="0" fillId="0" borderId="19" xfId="0" applyBorder="1" applyAlignment="1">
      <alignment horizontal="center"/>
    </xf>
    <xf numFmtId="9" fontId="0" fillId="0" borderId="19" xfId="0" applyNumberFormat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10" fontId="0" fillId="0" borderId="0" xfId="0" applyNumberFormat="1"/>
    <xf numFmtId="0" fontId="0" fillId="0" borderId="0" xfId="0" applyFill="1" applyAlignment="1">
      <alignment horizontal="center"/>
    </xf>
    <xf numFmtId="10" fontId="0" fillId="7" borderId="9" xfId="0" applyNumberFormat="1" applyFill="1" applyBorder="1" applyAlignment="1">
      <alignment horizontal="center"/>
    </xf>
    <xf numFmtId="0" fontId="3" fillId="4" borderId="0" xfId="0" applyFont="1" applyFill="1" applyAlignment="1">
      <alignment horizontal="center"/>
    </xf>
  </cellXfs>
  <cellStyles count="3">
    <cellStyle name="Neutro" xfId="2" builtinId="28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Planilha1!$C$35</c:f>
              <c:strCache>
                <c:ptCount val="1"/>
                <c:pt idx="0">
                  <c:v>Percentual Sugerido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 </c:v>
                </c:pt>
                <c:pt idx="3">
                  <c:v>FOF'S</c:v>
                </c:pt>
                <c:pt idx="4">
                  <c:v>DESENVOLVIMENTO </c:v>
                </c:pt>
                <c:pt idx="5">
                  <c:v>HOTELARIAS </c:v>
                </c:pt>
              </c:strCache>
            </c:strRef>
          </c:cat>
          <c:val>
            <c:numRef>
              <c:f>Planilha1!$C$36:$C$41</c:f>
              <c:numCache>
                <c:formatCode>0%</c:formatCode>
                <c:ptCount val="6"/>
                <c:pt idx="0">
                  <c:v>0.32</c:v>
                </c:pt>
                <c:pt idx="1">
                  <c:v>0.4</c:v>
                </c:pt>
                <c:pt idx="2">
                  <c:v>0.08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1-4418-8AC7-AAAC6A8DD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15240</xdr:colOff>
      <xdr:row>0</xdr:row>
      <xdr:rowOff>99060</xdr:rowOff>
    </xdr:from>
    <xdr:to>
      <xdr:col>4</xdr:col>
      <xdr:colOff>0</xdr:colOff>
      <xdr:row>9</xdr:row>
      <xdr:rowOff>53340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DCE520A-A081-2C75-7431-C9D17B6AD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428" y="99060"/>
          <a:ext cx="7057913" cy="1567927"/>
        </a:xfrm>
        <a:prstGeom prst="rect">
          <a:avLst/>
        </a:prstGeom>
      </xdr:spPr>
    </xdr:pic>
    <xdr:clientData/>
  </xdr:twoCellAnchor>
  <xdr:twoCellAnchor>
    <xdr:from>
      <xdr:col>0</xdr:col>
      <xdr:colOff>188259</xdr:colOff>
      <xdr:row>44</xdr:row>
      <xdr:rowOff>17930</xdr:rowOff>
    </xdr:from>
    <xdr:to>
      <xdr:col>3</xdr:col>
      <xdr:colOff>959223</xdr:colOff>
      <xdr:row>59</xdr:row>
      <xdr:rowOff>71718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DDBEC54-9F44-27D9-408F-6FB3A70B8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C529C-2D38-4E5A-83EA-2038D0C88396}">
  <dimension ref="A10:J70"/>
  <sheetViews>
    <sheetView showGridLines="0" tabSelected="1" topLeftCell="A40" zoomScale="85" zoomScaleNormal="85" workbookViewId="0">
      <selection activeCell="C71" sqref="C71"/>
    </sheetView>
  </sheetViews>
  <sheetFormatPr defaultColWidth="0" defaultRowHeight="14.4" x14ac:dyDescent="0.3"/>
  <cols>
    <col min="1" max="1" width="3" bestFit="1" customWidth="1"/>
    <col min="2" max="2" width="44.21875" customWidth="1"/>
    <col min="3" max="3" width="44.44140625" customWidth="1"/>
    <col min="4" max="4" width="14.44140625" customWidth="1"/>
    <col min="5" max="5" width="4.33203125" customWidth="1"/>
    <col min="6" max="6" width="11.88671875" hidden="1" customWidth="1"/>
    <col min="7" max="7" width="13.33203125" hidden="1" customWidth="1"/>
    <col min="8" max="9" width="23.88671875" hidden="1"/>
    <col min="10" max="10" width="10.33203125" hidden="1"/>
    <col min="11" max="16384" width="8.88671875" hidden="1"/>
  </cols>
  <sheetData>
    <row r="10" spans="2:4" ht="15" thickBot="1" x14ac:dyDescent="0.35"/>
    <row r="11" spans="2:4" s="33" customFormat="1" ht="25.05" customHeight="1" thickBot="1" x14ac:dyDescent="0.55000000000000004">
      <c r="B11" s="40" t="s">
        <v>13</v>
      </c>
      <c r="C11" s="41"/>
      <c r="D11" s="42"/>
    </row>
    <row r="12" spans="2:4" ht="16.2" thickBot="1" x14ac:dyDescent="0.35">
      <c r="B12" s="14" t="s">
        <v>12</v>
      </c>
      <c r="C12" s="15"/>
      <c r="D12" s="35">
        <v>2000</v>
      </c>
    </row>
    <row r="13" spans="2:4" ht="16.2" thickBot="1" x14ac:dyDescent="0.35">
      <c r="B13" s="16" t="s">
        <v>11</v>
      </c>
      <c r="C13" s="17"/>
      <c r="D13" s="59">
        <v>6.0000000000000001E-3</v>
      </c>
    </row>
    <row r="14" spans="2:4" ht="16.2" thickBot="1" x14ac:dyDescent="0.35">
      <c r="B14" s="18" t="s">
        <v>31</v>
      </c>
      <c r="C14" s="19"/>
      <c r="D14" s="36">
        <f>D12*30%</f>
        <v>600</v>
      </c>
    </row>
    <row r="15" spans="2:4" ht="15" thickBot="1" x14ac:dyDescent="0.35"/>
    <row r="16" spans="2:4" s="33" customFormat="1" ht="25.05" customHeight="1" thickBot="1" x14ac:dyDescent="0.55000000000000004">
      <c r="B16" s="37" t="s">
        <v>0</v>
      </c>
      <c r="C16" s="38"/>
      <c r="D16" s="39"/>
    </row>
    <row r="17" spans="1:5" ht="19.8" thickBot="1" x14ac:dyDescent="0.35">
      <c r="B17" s="20" t="s">
        <v>2</v>
      </c>
      <c r="C17" s="21"/>
      <c r="D17" s="5">
        <v>200</v>
      </c>
    </row>
    <row r="18" spans="1:5" ht="19.8" thickBot="1" x14ac:dyDescent="0.35">
      <c r="B18" s="22" t="s">
        <v>1</v>
      </c>
      <c r="C18" s="23"/>
      <c r="D18" s="6">
        <v>5</v>
      </c>
    </row>
    <row r="19" spans="1:5" ht="19.8" thickBot="1" x14ac:dyDescent="0.35">
      <c r="B19" s="22" t="s">
        <v>3</v>
      </c>
      <c r="C19" s="23"/>
      <c r="D19" s="7">
        <v>1.0789999999999999E-2</v>
      </c>
    </row>
    <row r="20" spans="1:5" ht="19.8" thickBot="1" x14ac:dyDescent="0.35">
      <c r="B20" s="24" t="s">
        <v>4</v>
      </c>
      <c r="C20" s="25"/>
      <c r="D20" s="8">
        <f>FV(D19,D18*12,D17*-1)</f>
        <v>16755.382799697527</v>
      </c>
    </row>
    <row r="21" spans="1:5" ht="19.8" thickBot="1" x14ac:dyDescent="0.35">
      <c r="B21" s="26" t="s">
        <v>5</v>
      </c>
      <c r="C21" s="27"/>
      <c r="D21" s="9">
        <f>D20*1%</f>
        <v>167.55382799697529</v>
      </c>
    </row>
    <row r="22" spans="1:5" ht="15" thickBot="1" x14ac:dyDescent="0.35"/>
    <row r="23" spans="1:5" s="33" customFormat="1" ht="25.05" customHeight="1" thickBot="1" x14ac:dyDescent="0.55000000000000004">
      <c r="B23" s="31" t="s">
        <v>17</v>
      </c>
      <c r="C23" s="32"/>
      <c r="D23" s="34" t="s">
        <v>32</v>
      </c>
    </row>
    <row r="24" spans="1:5" ht="16.2" thickBot="1" x14ac:dyDescent="0.35">
      <c r="A24" s="2">
        <v>2</v>
      </c>
      <c r="B24" s="28" t="s">
        <v>6</v>
      </c>
      <c r="C24" s="10">
        <f>FV($D$19,A24*12,$D$17*-1)</f>
        <v>5445.5254595290435</v>
      </c>
      <c r="D24" s="11">
        <f>C24*$D$13</f>
        <v>32.673152757174265</v>
      </c>
    </row>
    <row r="25" spans="1:5" ht="16.2" thickBot="1" x14ac:dyDescent="0.35">
      <c r="A25" s="2">
        <v>5</v>
      </c>
      <c r="B25" s="29" t="s">
        <v>7</v>
      </c>
      <c r="C25" s="12">
        <f>FV($D$19,A25*12,$D$17*-1)</f>
        <v>16755.382799697527</v>
      </c>
      <c r="D25" s="8">
        <f>C25*$D$13</f>
        <v>100.53229679818516</v>
      </c>
    </row>
    <row r="26" spans="1:5" ht="16.2" thickBot="1" x14ac:dyDescent="0.35">
      <c r="A26" s="2">
        <v>10</v>
      </c>
      <c r="B26" s="29" t="s">
        <v>8</v>
      </c>
      <c r="C26" s="12">
        <f>FV($D$19,A26*12,$D$17*-1)</f>
        <v>48656.842506034438</v>
      </c>
      <c r="D26" s="8">
        <f>C26*$D$13</f>
        <v>291.94105503620665</v>
      </c>
    </row>
    <row r="27" spans="1:5" ht="16.2" thickBot="1" x14ac:dyDescent="0.35">
      <c r="A27" s="2">
        <v>20</v>
      </c>
      <c r="B27" s="29" t="s">
        <v>9</v>
      </c>
      <c r="C27" s="12">
        <f>FV($D$19,A27*12,$D$17*-1)</f>
        <v>225039.68001941612</v>
      </c>
      <c r="D27" s="8">
        <f>C27*$D$13</f>
        <v>1350.2380801164968</v>
      </c>
    </row>
    <row r="28" spans="1:5" ht="16.2" thickBot="1" x14ac:dyDescent="0.35">
      <c r="A28" s="2">
        <v>30</v>
      </c>
      <c r="B28" s="30" t="s">
        <v>10</v>
      </c>
      <c r="C28" s="13">
        <f>FV($D$19,A28*12,$D$17*-1)</f>
        <v>864433.93100094295</v>
      </c>
      <c r="D28" s="9">
        <f>C28*$D$13</f>
        <v>5186.6035860056581</v>
      </c>
    </row>
    <row r="29" spans="1:5" x14ac:dyDescent="0.3">
      <c r="C29" s="3"/>
      <c r="D29" s="4"/>
      <c r="E29" s="3"/>
    </row>
    <row r="30" spans="1:5" x14ac:dyDescent="0.3">
      <c r="C30" s="3"/>
      <c r="D30" s="3"/>
      <c r="E30" s="3"/>
    </row>
    <row r="32" spans="1:5" x14ac:dyDescent="0.3">
      <c r="B32" s="43" t="s">
        <v>19</v>
      </c>
      <c r="C32" s="45" t="s">
        <v>15</v>
      </c>
      <c r="D32" s="43"/>
    </row>
    <row r="33" spans="2:4" x14ac:dyDescent="0.3">
      <c r="B33" s="44" t="s">
        <v>18</v>
      </c>
      <c r="C33" s="46">
        <f>Aporte</f>
        <v>200</v>
      </c>
      <c r="D33" s="44"/>
    </row>
    <row r="35" spans="2:4" x14ac:dyDescent="0.3">
      <c r="B35" s="60" t="s">
        <v>20</v>
      </c>
      <c r="C35" s="60" t="s">
        <v>21</v>
      </c>
      <c r="D35" s="60" t="s">
        <v>22</v>
      </c>
    </row>
    <row r="36" spans="2:4" x14ac:dyDescent="0.3">
      <c r="B36" s="1" t="s">
        <v>23</v>
      </c>
      <c r="C36" s="47">
        <f>VLOOKUP($C$32&amp;"-"&amp;B36,Planilha2!$A:$D,4,)</f>
        <v>0.32</v>
      </c>
      <c r="D36" s="49">
        <f>C36*$C$33</f>
        <v>64</v>
      </c>
    </row>
    <row r="37" spans="2:4" x14ac:dyDescent="0.3">
      <c r="B37" s="1" t="s">
        <v>24</v>
      </c>
      <c r="C37" s="47">
        <f>VLOOKUP($C$32&amp;"-"&amp;B37,Planilha2!$A:$D,4,)</f>
        <v>0.4</v>
      </c>
      <c r="D37" s="49">
        <f t="shared" ref="D37:D41" si="0">C37*$C$33</f>
        <v>80</v>
      </c>
    </row>
    <row r="38" spans="2:4" x14ac:dyDescent="0.3">
      <c r="B38" s="1" t="s">
        <v>25</v>
      </c>
      <c r="C38" s="47">
        <f>VLOOKUP($C$32&amp;"-"&amp;B38,Planilha2!$A:$D,4,)</f>
        <v>0.08</v>
      </c>
      <c r="D38" s="49">
        <f t="shared" si="0"/>
        <v>16</v>
      </c>
    </row>
    <row r="39" spans="2:4" x14ac:dyDescent="0.3">
      <c r="B39" s="1" t="s">
        <v>26</v>
      </c>
      <c r="C39" s="47">
        <f>VLOOKUP($C$32&amp;"-"&amp;B39,Planilha2!$A:$D,4,)</f>
        <v>0.1</v>
      </c>
      <c r="D39" s="49">
        <f t="shared" si="0"/>
        <v>20</v>
      </c>
    </row>
    <row r="40" spans="2:4" x14ac:dyDescent="0.3">
      <c r="B40" s="1" t="s">
        <v>27</v>
      </c>
      <c r="C40" s="47">
        <f>VLOOKUP($C$32&amp;"-"&amp;B40,Planilha2!$A:$D,4,)</f>
        <v>0.1</v>
      </c>
      <c r="D40" s="49">
        <f t="shared" si="0"/>
        <v>20</v>
      </c>
    </row>
    <row r="41" spans="2:4" x14ac:dyDescent="0.3">
      <c r="B41" s="1" t="s">
        <v>28</v>
      </c>
      <c r="C41" s="47">
        <f>VLOOKUP($C$32&amp;"-"&amp;B41,Planilha2!$A:$D,4,)</f>
        <v>0.1</v>
      </c>
      <c r="D41" s="49">
        <f t="shared" si="0"/>
        <v>20</v>
      </c>
    </row>
    <row r="42" spans="2:4" x14ac:dyDescent="0.3">
      <c r="B42" s="48"/>
      <c r="C42" s="48"/>
      <c r="D42" s="50">
        <f>SUM(D36:D41)</f>
        <v>220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</sheetData>
  <mergeCells count="11">
    <mergeCell ref="B11:C11"/>
    <mergeCell ref="B12:C12"/>
    <mergeCell ref="B13:C13"/>
    <mergeCell ref="B14:C14"/>
    <mergeCell ref="B16:C16"/>
    <mergeCell ref="B23:C23"/>
    <mergeCell ref="B18:C18"/>
    <mergeCell ref="B17:C17"/>
    <mergeCell ref="B19:C19"/>
    <mergeCell ref="B20:C20"/>
    <mergeCell ref="B21:C21"/>
  </mergeCells>
  <dataValidations count="1">
    <dataValidation type="list" allowBlank="1" showInputMessage="1" showErrorMessage="1" sqref="C32" xr:uid="{137BC78B-86B3-4247-B388-189A3C2D9EBD}">
      <formula1>"Conservador,Moderado,Agressivo,"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00789-DF0D-4B7D-BE05-C7D4235549DB}">
  <dimension ref="A2:H20"/>
  <sheetViews>
    <sheetView workbookViewId="0">
      <selection activeCell="H6" sqref="H4:H6"/>
    </sheetView>
  </sheetViews>
  <sheetFormatPr defaultRowHeight="14.4" x14ac:dyDescent="0.3"/>
  <cols>
    <col min="1" max="1" width="29.77734375" bestFit="1" customWidth="1"/>
    <col min="2" max="2" width="14" customWidth="1"/>
    <col min="3" max="3" width="18.44140625" bestFit="1" customWidth="1"/>
    <col min="4" max="4" width="8.88671875" style="1"/>
    <col min="7" max="7" width="16.109375" bestFit="1" customWidth="1"/>
  </cols>
  <sheetData>
    <row r="2" spans="1:8" x14ac:dyDescent="0.3">
      <c r="A2" s="3" t="s">
        <v>30</v>
      </c>
      <c r="B2" s="3" t="s">
        <v>19</v>
      </c>
      <c r="C2" s="51" t="s">
        <v>20</v>
      </c>
      <c r="D2" s="51" t="s">
        <v>29</v>
      </c>
    </row>
    <row r="3" spans="1:8" x14ac:dyDescent="0.3">
      <c r="A3" s="3" t="str">
        <f>B3&amp;"-"&amp;C3</f>
        <v>Conservador-PAPEL</v>
      </c>
      <c r="B3" s="3" t="s">
        <v>14</v>
      </c>
      <c r="C3" s="51" t="s">
        <v>23</v>
      </c>
      <c r="D3" s="52">
        <v>0.3</v>
      </c>
    </row>
    <row r="4" spans="1:8" x14ac:dyDescent="0.3">
      <c r="A4" s="3" t="str">
        <f t="shared" ref="A4:A20" si="0">B4&amp;"-"&amp;C4</f>
        <v>Conservador-TIJOLO</v>
      </c>
      <c r="B4" s="3" t="s">
        <v>14</v>
      </c>
      <c r="C4" s="51" t="s">
        <v>24</v>
      </c>
      <c r="D4" s="52">
        <v>0.5</v>
      </c>
    </row>
    <row r="5" spans="1:8" x14ac:dyDescent="0.3">
      <c r="A5" s="3" t="str">
        <f t="shared" si="0"/>
        <v xml:space="preserve">Conservador-HIBRIDOS </v>
      </c>
      <c r="B5" s="3" t="s">
        <v>14</v>
      </c>
      <c r="C5" s="51" t="s">
        <v>25</v>
      </c>
      <c r="D5" s="52">
        <v>0.1</v>
      </c>
    </row>
    <row r="6" spans="1:8" x14ac:dyDescent="0.3">
      <c r="A6" s="3" t="str">
        <f t="shared" si="0"/>
        <v>Conservador-FOF'S</v>
      </c>
      <c r="B6" s="3" t="s">
        <v>14</v>
      </c>
      <c r="C6" s="51" t="s">
        <v>26</v>
      </c>
      <c r="D6" s="52">
        <v>0.1</v>
      </c>
      <c r="H6" s="57"/>
    </row>
    <row r="7" spans="1:8" x14ac:dyDescent="0.3">
      <c r="A7" s="3" t="str">
        <f t="shared" si="0"/>
        <v xml:space="preserve">Conservador-DESENVOLVIMENTO </v>
      </c>
      <c r="B7" s="3" t="s">
        <v>14</v>
      </c>
      <c r="C7" s="51" t="s">
        <v>27</v>
      </c>
      <c r="D7" s="52">
        <v>0</v>
      </c>
    </row>
    <row r="8" spans="1:8" ht="15" thickBot="1" x14ac:dyDescent="0.35">
      <c r="A8" s="3" t="str">
        <f>B8&amp;"-"&amp;C8</f>
        <v xml:space="preserve">Conservador-HOTELARIAS </v>
      </c>
      <c r="B8" s="53" t="s">
        <v>14</v>
      </c>
      <c r="C8" s="54" t="s">
        <v>28</v>
      </c>
      <c r="D8" s="55">
        <v>0</v>
      </c>
    </row>
    <row r="9" spans="1:8" x14ac:dyDescent="0.3">
      <c r="A9" s="3" t="str">
        <f>B9&amp;"-"&amp;C9</f>
        <v>Moderado-PAPEL</v>
      </c>
      <c r="B9" t="s">
        <v>15</v>
      </c>
      <c r="C9" s="1" t="s">
        <v>23</v>
      </c>
      <c r="D9" s="56">
        <v>0.32</v>
      </c>
    </row>
    <row r="10" spans="1:8" x14ac:dyDescent="0.3">
      <c r="A10" s="3" t="str">
        <f t="shared" ref="A10:A14" si="1">B10&amp;"-"&amp;C10</f>
        <v>Moderado-TIJOLO</v>
      </c>
      <c r="B10" t="s">
        <v>15</v>
      </c>
      <c r="C10" s="58" t="s">
        <v>24</v>
      </c>
      <c r="D10" s="56">
        <v>0.4</v>
      </c>
    </row>
    <row r="11" spans="1:8" x14ac:dyDescent="0.3">
      <c r="A11" s="3" t="str">
        <f t="shared" si="1"/>
        <v xml:space="preserve">Moderado-HIBRIDOS </v>
      </c>
      <c r="B11" t="s">
        <v>15</v>
      </c>
      <c r="C11" s="1" t="s">
        <v>25</v>
      </c>
      <c r="D11" s="56">
        <v>0.08</v>
      </c>
    </row>
    <row r="12" spans="1:8" x14ac:dyDescent="0.3">
      <c r="A12" s="3" t="str">
        <f t="shared" si="1"/>
        <v>Moderado-FOF'S</v>
      </c>
      <c r="B12" t="s">
        <v>15</v>
      </c>
      <c r="C12" s="1" t="s">
        <v>26</v>
      </c>
      <c r="D12" s="56">
        <v>0.1</v>
      </c>
    </row>
    <row r="13" spans="1:8" x14ac:dyDescent="0.3">
      <c r="A13" s="3" t="str">
        <f t="shared" si="1"/>
        <v xml:space="preserve">Moderado-DESENVOLVIMENTO </v>
      </c>
      <c r="B13" t="s">
        <v>15</v>
      </c>
      <c r="C13" s="51" t="s">
        <v>27</v>
      </c>
      <c r="D13" s="56">
        <v>0.1</v>
      </c>
    </row>
    <row r="14" spans="1:8" ht="15" thickBot="1" x14ac:dyDescent="0.35">
      <c r="A14" s="3" t="str">
        <f t="shared" si="1"/>
        <v xml:space="preserve">Moderado-HOTELARIAS </v>
      </c>
      <c r="B14" t="s">
        <v>15</v>
      </c>
      <c r="C14" s="54" t="s">
        <v>28</v>
      </c>
      <c r="D14" s="55">
        <v>0.1</v>
      </c>
    </row>
    <row r="15" spans="1:8" x14ac:dyDescent="0.3">
      <c r="A15" s="3" t="str">
        <f t="shared" si="0"/>
        <v>Agressivo-PAPEL</v>
      </c>
      <c r="B15" t="s">
        <v>16</v>
      </c>
      <c r="C15" s="1" t="s">
        <v>23</v>
      </c>
      <c r="D15" s="47">
        <v>0.5</v>
      </c>
    </row>
    <row r="16" spans="1:8" x14ac:dyDescent="0.3">
      <c r="A16" s="3" t="str">
        <f t="shared" si="0"/>
        <v>Agressivo-TIJOLO</v>
      </c>
      <c r="B16" t="s">
        <v>16</v>
      </c>
      <c r="C16" s="1" t="s">
        <v>24</v>
      </c>
      <c r="D16" s="47">
        <v>0.1</v>
      </c>
    </row>
    <row r="17" spans="1:4" x14ac:dyDescent="0.3">
      <c r="A17" s="3" t="str">
        <f t="shared" si="0"/>
        <v xml:space="preserve">Agressivo-HIBRIDOS </v>
      </c>
      <c r="B17" t="s">
        <v>16</v>
      </c>
      <c r="C17" s="1" t="s">
        <v>25</v>
      </c>
      <c r="D17" s="47">
        <v>0.05</v>
      </c>
    </row>
    <row r="18" spans="1:4" x14ac:dyDescent="0.3">
      <c r="A18" s="3" t="str">
        <f t="shared" si="0"/>
        <v>Agressivo-FOF'S</v>
      </c>
      <c r="B18" t="s">
        <v>16</v>
      </c>
      <c r="C18" s="1" t="s">
        <v>26</v>
      </c>
      <c r="D18" s="47">
        <v>0.05</v>
      </c>
    </row>
    <row r="19" spans="1:4" x14ac:dyDescent="0.3">
      <c r="A19" s="3" t="str">
        <f t="shared" si="0"/>
        <v xml:space="preserve">Agressivo-DESENVOLVIMENTO </v>
      </c>
      <c r="B19" t="s">
        <v>16</v>
      </c>
      <c r="C19" s="1" t="s">
        <v>27</v>
      </c>
      <c r="D19" s="47">
        <v>0.2</v>
      </c>
    </row>
    <row r="20" spans="1:4" x14ac:dyDescent="0.3">
      <c r="A20" s="3" t="str">
        <f t="shared" si="0"/>
        <v xml:space="preserve">Agressivo-HOTELARIAS </v>
      </c>
      <c r="B20" t="s">
        <v>16</v>
      </c>
      <c r="C20" s="1" t="s">
        <v>28</v>
      </c>
      <c r="D20" s="4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Escudeiro</dc:creator>
  <cp:lastModifiedBy>Juliana Escudeiro</cp:lastModifiedBy>
  <dcterms:created xsi:type="dcterms:W3CDTF">2026-10-05T21:34:15Z</dcterms:created>
  <dcterms:modified xsi:type="dcterms:W3CDTF">2026-10-06T00:42:52Z</dcterms:modified>
</cp:coreProperties>
</file>